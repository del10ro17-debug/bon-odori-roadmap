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メニュー" sheetId="1" state="visible" r:id="rId1"/>
    <sheet xmlns:r="http://schemas.openxmlformats.org/officeDocument/2006/relationships" name="ケバブ原価" sheetId="2" state="visible" r:id="rId2"/>
    <sheet xmlns:r="http://schemas.openxmlformats.org/officeDocument/2006/relationships" name="売上シミュレーション" sheetId="3" state="visible" r:id="rId3"/>
    <sheet xmlns:r="http://schemas.openxmlformats.org/officeDocument/2006/relationships" name="シナリオ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3" fontId="0" fillId="3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</cols>
  <sheetData>
    <row r="1">
      <c r="A1" s="1" t="inlineStr">
        <is>
          <t>晴海盆踊り2026 — メニュー・価格（確定 2026-06-14）</t>
        </is>
      </c>
    </row>
    <row r="3">
      <c r="A3" s="2" t="inlineStr">
        <is>
          <t>品目</t>
        </is>
      </c>
      <c r="B3" s="2" t="inlineStr">
        <is>
          <t>販売価格（円）</t>
        </is>
      </c>
      <c r="C3" s="2" t="inlineStr">
        <is>
          <t>区分</t>
        </is>
      </c>
    </row>
    <row r="4">
      <c r="A4" t="inlineStr">
        <is>
          <t>ケバブ</t>
        </is>
      </c>
      <c r="B4" t="n">
        <v>700</v>
      </c>
      <c r="C4" t="inlineStr">
        <is>
          <t>食品</t>
        </is>
      </c>
    </row>
    <row r="5">
      <c r="A5" t="inlineStr">
        <is>
          <t>ラムネ</t>
        </is>
      </c>
      <c r="B5" t="n">
        <v>300</v>
      </c>
      <c r="C5" t="inlineStr">
        <is>
          <t>ドリンク</t>
        </is>
      </c>
    </row>
    <row r="6">
      <c r="A6" t="inlineStr">
        <is>
          <t>コーラ</t>
        </is>
      </c>
      <c r="B6" t="n">
        <v>300</v>
      </c>
      <c r="C6" t="inlineStr">
        <is>
          <t>ドリンク</t>
        </is>
      </c>
    </row>
    <row r="7">
      <c r="A7" t="inlineStr">
        <is>
          <t>お茶</t>
        </is>
      </c>
      <c r="B7" t="n">
        <v>300</v>
      </c>
      <c r="C7" t="inlineStr">
        <is>
          <t>ドリンク</t>
        </is>
      </c>
    </row>
    <row r="8">
      <c r="A8" t="inlineStr">
        <is>
          <t>リンゴジュース</t>
        </is>
      </c>
      <c r="B8" t="n">
        <v>300</v>
      </c>
      <c r="C8" t="inlineStr">
        <is>
          <t>ドリンク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1" t="inlineStr">
        <is>
          <t>ケバブ1食あたり原価（食材のみ）</t>
        </is>
      </c>
    </row>
    <row r="2">
      <c r="A2" t="inlineStr">
        <is>
          <t>黄色セルは単価を変更すると合計・粗利が自動更新されます</t>
        </is>
      </c>
    </row>
    <row r="4">
      <c r="A4" s="2" t="inlineStr">
        <is>
          <t>材料</t>
        </is>
      </c>
      <c r="B4" s="2" t="inlineStr">
        <is>
          <t>1食あたり数量</t>
        </is>
      </c>
      <c r="C4" s="2" t="inlineStr">
        <is>
          <t>原価（円）</t>
        </is>
      </c>
    </row>
    <row r="5">
      <c r="A5" t="inlineStr">
        <is>
          <t>ピタパン</t>
        </is>
      </c>
      <c r="B5" t="inlineStr">
        <is>
          <t>1枚</t>
        </is>
      </c>
      <c r="C5" s="3" t="n">
        <v>70</v>
      </c>
    </row>
    <row r="6">
      <c r="A6" t="inlineStr">
        <is>
          <t>鶏胸肉</t>
        </is>
      </c>
      <c r="B6" t="inlineStr">
        <is>
          <t>70g</t>
        </is>
      </c>
      <c r="C6" s="3" t="n">
        <v>62</v>
      </c>
    </row>
    <row r="7">
      <c r="A7" t="inlineStr">
        <is>
          <t>キャベツ</t>
        </is>
      </c>
      <c r="B7" t="inlineStr">
        <is>
          <t>40g</t>
        </is>
      </c>
      <c r="C7" s="3" t="n">
        <v>8</v>
      </c>
    </row>
    <row r="8">
      <c r="A8" t="inlineStr">
        <is>
          <t>ソース</t>
        </is>
      </c>
      <c r="B8" t="inlineStr">
        <is>
          <t>23g</t>
        </is>
      </c>
      <c r="C8" s="3" t="n">
        <v>9</v>
      </c>
    </row>
    <row r="9">
      <c r="A9" t="inlineStr">
        <is>
          <t>ほりにし</t>
        </is>
      </c>
      <c r="B9" t="inlineStr">
        <is>
          <t>1g</t>
        </is>
      </c>
      <c r="C9" s="3" t="n">
        <v>8</v>
      </c>
    </row>
    <row r="10">
      <c r="A10" t="inlineStr">
        <is>
          <t>ハラペーニョ</t>
        </is>
      </c>
      <c r="B10" t="inlineStr">
        <is>
          <t>3枚</t>
        </is>
      </c>
      <c r="C10" s="3" t="n">
        <v>5</v>
      </c>
    </row>
    <row r="11">
      <c r="A11" s="4" t="inlineStr">
        <is>
          <t>合計（1食原価）</t>
        </is>
      </c>
      <c r="C11" s="4">
        <f>SUM(C5:C10)</f>
        <v/>
      </c>
    </row>
    <row r="13">
      <c r="A13" t="inlineStr">
        <is>
          <t>販売価格（円）</t>
        </is>
      </c>
      <c r="C13" t="n">
        <v>700</v>
      </c>
    </row>
    <row r="14">
      <c r="A14" t="inlineStr">
        <is>
          <t>粗利（円）</t>
        </is>
      </c>
      <c r="C14" s="4">
        <f>C13-C11</f>
        <v/>
      </c>
    </row>
    <row r="15">
      <c r="A15" t="inlineStr">
        <is>
          <t>粗利率</t>
        </is>
      </c>
      <c r="C15" s="5">
        <f>C14/C13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22" customWidth="1" min="4" max="4"/>
  </cols>
  <sheetData>
    <row r="1">
      <c r="A1" s="1" t="inlineStr">
        <is>
          <t>カスタム試算（黄色セルを編集）</t>
        </is>
      </c>
    </row>
    <row r="3">
      <c r="A3" t="inlineStr">
        <is>
          <t>目標売上（円）</t>
        </is>
      </c>
      <c r="B3" s="6" t="n">
        <v>1000000</v>
      </c>
    </row>
    <row r="4">
      <c r="A4" t="inlineStr">
        <is>
          <t>ケバブ売上比率（%）</t>
        </is>
      </c>
      <c r="B4" s="6" t="n">
        <v>70</v>
      </c>
    </row>
    <row r="5">
      <c r="A5" t="inlineStr">
        <is>
          <t>ドリンク原価/本（円・仮）</t>
        </is>
      </c>
      <c r="B5" s="6" t="n">
        <v>100</v>
      </c>
    </row>
    <row r="6">
      <c r="A6" t="inlineStr">
        <is>
          <t>仕入バッファ（%）</t>
        </is>
      </c>
      <c r="B6" s="6" t="n">
        <v>5</v>
      </c>
    </row>
    <row r="7">
      <c r="A7" t="inlineStr">
        <is>
          <t>営業日数</t>
        </is>
      </c>
      <c r="B7" s="6" t="n">
        <v>2</v>
      </c>
    </row>
    <row r="8">
      <c r="A8" t="inlineStr">
        <is>
          <t>ケバブ販売価格（円）</t>
        </is>
      </c>
      <c r="B8" s="6" t="n">
        <v>700</v>
      </c>
    </row>
    <row r="9">
      <c r="A9" t="inlineStr">
        <is>
          <t>ドリンク販売価格（円）</t>
        </is>
      </c>
      <c r="B9" s="6" t="n">
        <v>300</v>
      </c>
    </row>
    <row r="11">
      <c r="A11" s="4" t="inlineStr">
        <is>
          <t>【自動計算】</t>
        </is>
      </c>
    </row>
    <row r="12">
      <c r="A12" t="inlineStr">
        <is>
          <t>ケバブ販売数（食）</t>
        </is>
      </c>
      <c r="B12" s="7">
        <f>ROUND(B3*B4/100/B8,0)</f>
        <v/>
      </c>
    </row>
    <row r="13">
      <c r="A13" t="inlineStr">
        <is>
          <t>ドリンク販売数（本）</t>
        </is>
      </c>
      <c r="B13" s="7">
        <f>ROUND((B3-B12*B8)/B9,0)</f>
        <v/>
      </c>
    </row>
    <row r="14">
      <c r="A14" t="inlineStr">
        <is>
          <t>売上合計（円）</t>
        </is>
      </c>
      <c r="B14" s="7">
        <f>B12*B8+B13*B9</f>
        <v/>
      </c>
    </row>
    <row r="15">
      <c r="A15" t="inlineStr">
        <is>
          <t>ケバブ食材原価（円）</t>
        </is>
      </c>
      <c r="B15" s="7">
        <f>B12*ケバブ原価!C10</f>
        <v/>
      </c>
    </row>
    <row r="16">
      <c r="A16" t="inlineStr">
        <is>
          <t>ドリンク仕入原価（円）</t>
        </is>
      </c>
      <c r="B16" s="7">
        <f>B13*B5</f>
        <v/>
      </c>
    </row>
    <row r="17">
      <c r="A17" t="inlineStr">
        <is>
          <t>仕入原価合計（円）</t>
        </is>
      </c>
      <c r="B17" s="7">
        <f>B15+B16</f>
        <v/>
      </c>
    </row>
    <row r="18">
      <c r="A18" t="inlineStr">
        <is>
          <t>粗利（円）</t>
        </is>
      </c>
      <c r="B18" s="7">
        <f>B14-B17</f>
        <v/>
      </c>
    </row>
    <row r="19">
      <c r="A19" t="inlineStr">
        <is>
          <t>粗利率</t>
        </is>
      </c>
      <c r="B19" s="5">
        <f>IF(B14=0,0,B18/B14)</f>
        <v/>
      </c>
    </row>
    <row r="20">
      <c r="A20" t="inlineStr">
        <is>
          <t>1日あたりケバブ（食）</t>
        </is>
      </c>
      <c r="B20" s="8">
        <f>B12/B7</f>
        <v/>
      </c>
    </row>
    <row r="21">
      <c r="A21" t="inlineStr">
        <is>
          <t>1日あたりドリンク（本）</t>
        </is>
      </c>
      <c r="B21" s="8">
        <f>B13/B7</f>
        <v/>
      </c>
    </row>
    <row r="23">
      <c r="A23" s="4" t="inlineStr">
        <is>
          <t>仕入れ量（2日間）</t>
        </is>
      </c>
    </row>
    <row r="24">
      <c r="A24" s="2" t="inlineStr">
        <is>
          <t>材料</t>
        </is>
      </c>
      <c r="B24" s="2" t="inlineStr">
        <is>
          <t>1食数量</t>
        </is>
      </c>
      <c r="C24" s="2" t="inlineStr">
        <is>
          <t>必要量</t>
        </is>
      </c>
      <c r="D24" s="2" t="inlineStr">
        <is>
          <t>仕入目安（+バッファ）</t>
        </is>
      </c>
    </row>
    <row r="25">
      <c r="A25" t="inlineStr">
        <is>
          <t>ピタパン</t>
        </is>
      </c>
      <c r="B25" t="inlineStr">
        <is>
          <t>1枚</t>
        </is>
      </c>
      <c r="C25">
        <f>B12*1</f>
        <v/>
      </c>
      <c r="D25">
        <f>CEILING(C25*(1+B6/100),1)</f>
        <v/>
      </c>
    </row>
    <row r="26">
      <c r="A26" t="inlineStr">
        <is>
          <t>鶏胸肉</t>
        </is>
      </c>
      <c r="B26" t="inlineStr">
        <is>
          <t>70g</t>
        </is>
      </c>
      <c r="C26" s="7">
        <f>B12*70</f>
        <v/>
      </c>
      <c r="D26" s="7">
        <f>CEILING(C26*(1+B6/100),1)</f>
        <v/>
      </c>
    </row>
    <row r="27">
      <c r="A27" t="inlineStr">
        <is>
          <t>キャベツ</t>
        </is>
      </c>
      <c r="B27" t="inlineStr">
        <is>
          <t>40g</t>
        </is>
      </c>
      <c r="C27" s="7">
        <f>B12*40</f>
        <v/>
      </c>
      <c r="D27" s="7">
        <f>CEILING(C27*(1+B6/100),1)</f>
        <v/>
      </c>
    </row>
    <row r="28">
      <c r="A28" t="inlineStr">
        <is>
          <t>ソース</t>
        </is>
      </c>
      <c r="B28" t="inlineStr">
        <is>
          <t>23g</t>
        </is>
      </c>
      <c r="C28" s="7">
        <f>B12*23</f>
        <v/>
      </c>
      <c r="D28" s="7">
        <f>CEILING(C28*(1+B6/100),1)</f>
        <v/>
      </c>
    </row>
    <row r="29">
      <c r="A29" t="inlineStr">
        <is>
          <t>ほりにし</t>
        </is>
      </c>
      <c r="B29" t="inlineStr">
        <is>
          <t>1g</t>
        </is>
      </c>
      <c r="C29">
        <f>B12*1</f>
        <v/>
      </c>
      <c r="D29">
        <f>CEILING(C29*(1+B6/100),1)</f>
        <v/>
      </c>
    </row>
    <row r="30">
      <c r="A30" t="inlineStr">
        <is>
          <t>ハラペーニョ</t>
        </is>
      </c>
      <c r="B30" t="inlineStr">
        <is>
          <t>3枚</t>
        </is>
      </c>
      <c r="C30">
        <f>B12*3</f>
        <v/>
      </c>
      <c r="D30">
        <f>CEILING(C30*(1+B6/100),1)</f>
        <v/>
      </c>
    </row>
    <row r="31">
      <c r="A31" t="inlineStr">
        <is>
          <t>ドリンク（4種合算）</t>
        </is>
      </c>
      <c r="B31" t="inlineStr">
        <is>
          <t>1本</t>
        </is>
      </c>
      <c r="C31">
        <f>B13</f>
        <v/>
      </c>
      <c r="D31">
        <f>CEILING(B13*(1+B6/100),1)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28" customWidth="1" min="5" max="5"/>
    <col width="14" customWidth="1" min="6" max="6"/>
  </cols>
  <sheetData>
    <row r="1">
      <c r="A1" s="1" t="inlineStr">
        <is>
          <t>売上100万円 — 固定シナリオ</t>
        </is>
      </c>
    </row>
    <row r="3">
      <c r="A3" s="2" t="inlineStr">
        <is>
          <t>シナリオ</t>
        </is>
      </c>
      <c r="B3" s="2" t="inlineStr">
        <is>
          <t>ケバブ（食）</t>
        </is>
      </c>
      <c r="C3" s="2" t="inlineStr">
        <is>
          <t>ドリンク（本）</t>
        </is>
      </c>
      <c r="D3" s="2" t="inlineStr">
        <is>
          <t>売上（円）</t>
        </is>
      </c>
      <c r="E3" s="2" t="inlineStr">
        <is>
          <t>仕入原価（162円+ドリンク100円仮）</t>
        </is>
      </c>
      <c r="F3" s="2" t="inlineStr">
        <is>
          <t>粗利（円）</t>
        </is>
      </c>
    </row>
    <row r="4">
      <c r="A4" t="inlineStr">
        <is>
          <t>基準（7:3）</t>
        </is>
      </c>
      <c r="B4" t="n">
        <v>1300</v>
      </c>
      <c r="C4" t="n">
        <v>300</v>
      </c>
      <c r="D4" s="7">
        <f>B4*700+C4*300</f>
        <v/>
      </c>
      <c r="E4" s="7">
        <f>B4*162+C4*100</f>
        <v/>
      </c>
      <c r="F4" s="7">
        <f>D4-E4</f>
        <v/>
      </c>
    </row>
    <row r="5">
      <c r="A5" t="inlineStr">
        <is>
          <t>バランス（5:5）</t>
        </is>
      </c>
      <c r="B5" t="n">
        <v>1000</v>
      </c>
      <c r="C5" t="n">
        <v>1000</v>
      </c>
      <c r="D5" s="7">
        <f>B5*700+C5*300</f>
        <v/>
      </c>
      <c r="E5" s="7">
        <f>B5*162+C5*100</f>
        <v/>
      </c>
      <c r="F5" s="7">
        <f>D5-E5</f>
        <v/>
      </c>
    </row>
    <row r="6">
      <c r="A6" t="inlineStr">
        <is>
          <t>ケバブ中心</t>
        </is>
      </c>
      <c r="B6" t="n">
        <v>1420</v>
      </c>
      <c r="C6" t="n">
        <v>20</v>
      </c>
      <c r="D6" s="7">
        <f>B6*700+C6*300</f>
        <v/>
      </c>
      <c r="E6" s="7">
        <f>B6*162+C6*100</f>
        <v/>
      </c>
      <c r="F6" s="7">
        <f>D6-E6</f>
        <v/>
      </c>
    </row>
    <row r="8">
      <c r="A8" t="inlineStr">
        <is>
          <t>※ ドリンク原価100円は仮。確定後に更新してください。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2026-06-14T00:24:21Z</dcterms:created>
  <dcterms:modified xmlns:dcterms="http://purl.org/dc/terms/" xmlns:xsi="http://www.w3.org/2001/XMLSchema-instance" xsi:type="dcterms:W3CDTF">2026-06-14T00:24:21Z</dcterms:modified>
</cp:coreProperties>
</file>